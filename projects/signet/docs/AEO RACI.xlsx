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m_vandewoestyne_accenture_com/Documents/Signet/Projects/AEO GEO/"/>
    </mc:Choice>
  </mc:AlternateContent>
  <xr:revisionPtr revIDLastSave="0" documentId="8_{11305E09-46F7-4F31-9AE6-BA9434EA27CB}" xr6:coauthVersionLast="47" xr6:coauthVersionMax="47" xr10:uidLastSave="{00000000-0000-0000-0000-000000000000}"/>
  <bookViews>
    <workbookView xWindow="57480" yWindow="-120" windowWidth="29040" windowHeight="15720" firstSheet="1" activeTab="1" xr2:uid="{FD7F50FC-2FB8-8C4C-86B6-B4D00790E2C2}"/>
  </bookViews>
  <sheets>
    <sheet name="Sheet1" sheetId="1" r:id="rId1"/>
    <sheet name="Pric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8" i="2"/>
  <c r="I7" i="2"/>
  <c r="I6" i="2"/>
  <c r="I5" i="2"/>
  <c r="I4" i="2"/>
  <c r="I10" i="2" l="1"/>
</calcChain>
</file>

<file path=xl/sharedStrings.xml><?xml version="1.0" encoding="utf-8"?>
<sst xmlns="http://schemas.openxmlformats.org/spreadsheetml/2006/main" count="160" uniqueCount="78">
  <si>
    <t>ID</t>
  </si>
  <si>
    <t>Activity</t>
  </si>
  <si>
    <t>Responsible</t>
  </si>
  <si>
    <t>Accountable</t>
  </si>
  <si>
    <t>Consulted</t>
  </si>
  <si>
    <t>Informed</t>
  </si>
  <si>
    <t>Notes</t>
  </si>
  <si>
    <t>Open Search Setup</t>
  </si>
  <si>
    <t>Accenture</t>
  </si>
  <si>
    <t>Signet IT</t>
  </si>
  <si>
    <t>Infoverity</t>
  </si>
  <si>
    <t>N/A</t>
  </si>
  <si>
    <t>Database setup for scaling enterprise data sources; ensure security compliance.</t>
  </si>
  <si>
    <t>S3 Data Buckets Setup</t>
  </si>
  <si>
    <t>Profound Analytics</t>
  </si>
  <si>
    <t>Configure S3 buckets for strategic reporting; validate data ingestion pipeline.</t>
  </si>
  <si>
    <t>API Router Development</t>
  </si>
  <si>
    <t>Router to serve API for Prodevix; ensure RESTful standards and authentication.</t>
  </si>
  <si>
    <t>API Schema Definition</t>
  </si>
  <si>
    <t>API schema jointly designed; Infoverity owns schema definition, Accenture consulted.</t>
  </si>
  <si>
    <t>Connection to Signet Systems</t>
  </si>
  <si>
    <t>Infoverity, Accenture</t>
  </si>
  <si>
    <t>Integration with Signet systems for triggering product description regeneration events.</t>
  </si>
  <si>
    <t>E2E (overall) infrastructure design</t>
  </si>
  <si>
    <t xml:space="preserve">Infoverity </t>
  </si>
  <si>
    <t>providing infrastructure and overall integration design</t>
  </si>
  <si>
    <t>LLM Visibility Content Strategy</t>
  </si>
  <si>
    <t>Signet IT, Accenture</t>
  </si>
  <si>
    <t>Profound</t>
  </si>
  <si>
    <t>Infoverity, Merchandising</t>
  </si>
  <si>
    <t>LLM visibility content strategy focused on analytics-driven guidance; excludes tone/voice rules.</t>
  </si>
  <si>
    <t>Analytics Dashboard Setup</t>
  </si>
  <si>
    <t>ecom merch/SEO</t>
  </si>
  <si>
    <t>Analytics dashboard setup for monitoring LLM and brand commerce site; includes KPI alignment.</t>
  </si>
  <si>
    <t>Integration with PIM Workflow</t>
  </si>
  <si>
    <t>Integration with PIM workflow via Prodevix; orchestration deprioritized but feedback loops in scope.</t>
  </si>
  <si>
    <t>Compliance &amp; Human QA</t>
  </si>
  <si>
    <t>Brand team (SEO)</t>
  </si>
  <si>
    <t>Mandatory human QA and compliance checks for regenerated content; legal review required.</t>
  </si>
  <si>
    <t>Update P360</t>
  </si>
  <si>
    <t xml:space="preserve">Assumptions: POC only; Production solution requires robust design and error handling. </t>
  </si>
  <si>
    <t>Add new Variant status for AEO Description Requests</t>
  </si>
  <si>
    <t>Update ActiveVOS Workflow</t>
  </si>
  <si>
    <t>Look for products in AEO status</t>
  </si>
  <si>
    <t>Call Prodevix with new AEO flag</t>
  </si>
  <si>
    <t>Update Prodevix (when AEO flag is true)</t>
  </si>
  <si>
    <t>Call AEO Service</t>
  </si>
  <si>
    <t>Use results in description generation</t>
  </si>
  <si>
    <t>Profound integration design and build</t>
  </si>
  <si>
    <t>ESI</t>
  </si>
  <si>
    <t>Infrastructure procurement</t>
  </si>
  <si>
    <t>Get infrasturcution provision, ARB, define builiding services, AI committee,JAD</t>
  </si>
  <si>
    <t>Post go live: define success criteria</t>
  </si>
  <si>
    <t>define success criteria and evaluation post go live</t>
  </si>
  <si>
    <t>data comes to s3--&gt;push to opensearch</t>
  </si>
  <si>
    <t xml:space="preserve">long description is the field that will be used.  </t>
  </si>
  <si>
    <t>inputs for prompt engineer</t>
  </si>
  <si>
    <t>4-6 weeks</t>
  </si>
  <si>
    <t>Role</t>
  </si>
  <si>
    <t>QTY</t>
  </si>
  <si>
    <t>Location</t>
  </si>
  <si>
    <t>Level</t>
  </si>
  <si>
    <t>Duration (Wks)</t>
  </si>
  <si>
    <t>Responsibilities</t>
  </si>
  <si>
    <t>Hrs</t>
  </si>
  <si>
    <t>Price</t>
  </si>
  <si>
    <t>Total Cost</t>
  </si>
  <si>
    <t>Technical Analyst</t>
  </si>
  <si>
    <t>Onshore</t>
  </si>
  <si>
    <t>1,2</t>
  </si>
  <si>
    <t>AWS API Developer</t>
  </si>
  <si>
    <t>3,4, 9</t>
  </si>
  <si>
    <t>Content Strategist</t>
  </si>
  <si>
    <t>Profound Reporting Analyst</t>
  </si>
  <si>
    <t xml:space="preserve"> Delivery Lead</t>
  </si>
  <si>
    <t>Project Plan, Status, 6, 20,21</t>
  </si>
  <si>
    <t>QE</t>
  </si>
  <si>
    <t>Original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</si>
</sst>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2"/>
      <color theme="1"/>
      <name val="Aptos Narrow"/>
      <family val="2"/>
      <scheme val="minor"/>
    </font>
    <font>
      <sz val="11"/>
      <color theme="1"/>
      <name val="Century Gothic"/>
      <family val="1"/>
    </font>
    <font>
      <sz val="12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b/>
      <sz val="11"/>
      <color theme="1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/>
    <xf numFmtId="0" fontId="1" fillId="3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3" fontId="1" fillId="0" borderId="0" xfId="0" applyNumberFormat="1" applyFont="1"/>
    <xf numFmtId="44" fontId="1" fillId="0" borderId="4" xfId="1" applyFont="1" applyBorder="1"/>
    <xf numFmtId="44" fontId="1" fillId="0" borderId="1" xfId="1" applyFont="1" applyBorder="1"/>
    <xf numFmtId="0" fontId="1" fillId="0" borderId="5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</cellXfs>
  <cellStyles count="2">
    <cellStyle name="Currency" xfId="1" builtinId="4"/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8B263-FA1D-5844-B009-092E1BAF66B5}" name="RACI_Table" displayName="RACI_Table" ref="B1:G22" headerRowDxfId="8" dataDxfId="7" totalsRowDxfId="6">
  <autoFilter ref="B1:G22" xr:uid="{7988B263-FA1D-5844-B009-092E1BAF66B5}"/>
  <tableColumns count="6">
    <tableColumn id="1" xr3:uid="{2FBB1998-CCE0-5D47-AB71-3135C022070A}" name="Activity" dataDxfId="5"/>
    <tableColumn id="2" xr3:uid="{D71C3732-47F7-D844-A91F-483F26732443}" name="Responsible" dataDxfId="4"/>
    <tableColumn id="3" xr3:uid="{9CE823A9-ED17-124B-AE6C-EC2E458A83EE}" name="Accountable" dataDxfId="3"/>
    <tableColumn id="4" xr3:uid="{6744C8F8-8BD1-AE41-9479-6631F0938322}" name="Consulted" dataDxfId="2"/>
    <tableColumn id="5" xr3:uid="{FF9F54FC-CBB1-B744-8DA6-A46FC1058FBC}" name="Informed" dataDxfId="1"/>
    <tableColumn id="6" xr3:uid="{495458A3-5CC2-0D44-A473-9EF5FBF03151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D982-94A6-5E4D-AF9E-C1ACA5737A77}">
  <dimension ref="A1:G40"/>
  <sheetViews>
    <sheetView workbookViewId="0">
      <selection activeCell="G11" sqref="G11"/>
    </sheetView>
  </sheetViews>
  <sheetFormatPr defaultColWidth="8.875" defaultRowHeight="13.9"/>
  <cols>
    <col min="1" max="1" width="8.875" style="2"/>
    <col min="2" max="2" width="49.625" style="2" customWidth="1"/>
    <col min="3" max="3" width="28" style="2" customWidth="1"/>
    <col min="4" max="4" width="20" style="2" customWidth="1"/>
    <col min="5" max="5" width="23" style="2" customWidth="1"/>
    <col min="6" max="6" width="23.5" style="2" bestFit="1" customWidth="1"/>
    <col min="7" max="7" width="98.875" style="2" customWidth="1"/>
    <col min="8" max="16384" width="8.875" style="2"/>
  </cols>
  <sheetData>
    <row r="1" spans="1: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>
      <c r="A3" s="2">
        <v>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10</v>
      </c>
      <c r="G3" s="2" t="s">
        <v>15</v>
      </c>
    </row>
    <row r="4" spans="1:7">
      <c r="A4" s="2">
        <v>3</v>
      </c>
      <c r="B4" s="3" t="s">
        <v>16</v>
      </c>
      <c r="C4" s="3" t="s">
        <v>8</v>
      </c>
      <c r="D4" s="3" t="s">
        <v>9</v>
      </c>
      <c r="E4" s="3" t="s">
        <v>10</v>
      </c>
      <c r="F4" s="3" t="s">
        <v>14</v>
      </c>
      <c r="G4" s="3" t="s">
        <v>17</v>
      </c>
    </row>
    <row r="5" spans="1:7">
      <c r="A5" s="2">
        <v>4</v>
      </c>
      <c r="B5" s="2" t="s">
        <v>18</v>
      </c>
      <c r="C5" s="2" t="s">
        <v>10</v>
      </c>
      <c r="D5" s="2" t="s">
        <v>9</v>
      </c>
      <c r="E5" s="2" t="s">
        <v>8</v>
      </c>
      <c r="F5" s="2" t="s">
        <v>11</v>
      </c>
      <c r="G5" s="2" t="s">
        <v>19</v>
      </c>
    </row>
    <row r="6" spans="1:7">
      <c r="A6" s="2">
        <v>5</v>
      </c>
      <c r="B6" s="3" t="s">
        <v>20</v>
      </c>
      <c r="C6" s="3" t="s">
        <v>9</v>
      </c>
      <c r="D6" s="3" t="s">
        <v>9</v>
      </c>
      <c r="E6" s="3" t="s">
        <v>21</v>
      </c>
      <c r="F6" s="3" t="s">
        <v>14</v>
      </c>
      <c r="G6" s="3" t="s">
        <v>22</v>
      </c>
    </row>
    <row r="7" spans="1:7">
      <c r="A7" s="2">
        <v>6</v>
      </c>
      <c r="B7" s="2" t="s">
        <v>23</v>
      </c>
      <c r="C7" s="2" t="s">
        <v>9</v>
      </c>
      <c r="D7" s="2" t="s">
        <v>8</v>
      </c>
      <c r="E7" s="2" t="s">
        <v>24</v>
      </c>
      <c r="F7" s="2" t="s">
        <v>14</v>
      </c>
      <c r="G7" s="2" t="s">
        <v>25</v>
      </c>
    </row>
    <row r="8" spans="1:7">
      <c r="A8" s="2">
        <v>7</v>
      </c>
      <c r="B8" s="3" t="s">
        <v>26</v>
      </c>
      <c r="C8" s="3" t="s">
        <v>8</v>
      </c>
      <c r="D8" s="3" t="s">
        <v>27</v>
      </c>
      <c r="E8" s="3" t="s">
        <v>28</v>
      </c>
      <c r="F8" s="3" t="s">
        <v>29</v>
      </c>
      <c r="G8" s="3" t="s">
        <v>30</v>
      </c>
    </row>
    <row r="9" spans="1:7">
      <c r="A9" s="2">
        <v>8</v>
      </c>
      <c r="B9" s="2" t="s">
        <v>31</v>
      </c>
      <c r="C9" s="2" t="s">
        <v>8</v>
      </c>
      <c r="D9" s="2" t="s">
        <v>32</v>
      </c>
      <c r="E9" s="2" t="s">
        <v>28</v>
      </c>
      <c r="F9" s="2" t="s">
        <v>9</v>
      </c>
      <c r="G9" s="2" t="s">
        <v>33</v>
      </c>
    </row>
    <row r="10" spans="1:7">
      <c r="A10" s="2">
        <v>9</v>
      </c>
      <c r="B10" s="3" t="s">
        <v>34</v>
      </c>
      <c r="C10" s="3" t="s">
        <v>10</v>
      </c>
      <c r="D10" s="3" t="s">
        <v>8</v>
      </c>
      <c r="E10" s="3" t="s">
        <v>9</v>
      </c>
      <c r="F10" s="3" t="s">
        <v>8</v>
      </c>
      <c r="G10" s="3" t="s">
        <v>35</v>
      </c>
    </row>
    <row r="11" spans="1:7">
      <c r="A11" s="2">
        <v>10</v>
      </c>
      <c r="B11" s="2" t="s">
        <v>36</v>
      </c>
      <c r="C11" s="2" t="s">
        <v>32</v>
      </c>
      <c r="D11" s="2" t="s">
        <v>37</v>
      </c>
      <c r="E11" s="2" t="s">
        <v>9</v>
      </c>
      <c r="F11" s="2" t="s">
        <v>8</v>
      </c>
      <c r="G11" s="2" t="s">
        <v>38</v>
      </c>
    </row>
    <row r="12" spans="1:7">
      <c r="A12" s="2">
        <v>11</v>
      </c>
      <c r="B12" s="3" t="s">
        <v>39</v>
      </c>
      <c r="C12" s="3" t="s">
        <v>10</v>
      </c>
      <c r="D12" s="3" t="s">
        <v>10</v>
      </c>
      <c r="E12" s="3" t="s">
        <v>27</v>
      </c>
      <c r="F12" s="3" t="s">
        <v>32</v>
      </c>
      <c r="G12" s="3" t="s">
        <v>40</v>
      </c>
    </row>
    <row r="13" spans="1:7">
      <c r="A13" s="2">
        <v>12</v>
      </c>
      <c r="B13" s="2" t="s">
        <v>41</v>
      </c>
      <c r="C13" s="2" t="s">
        <v>10</v>
      </c>
      <c r="D13" s="2" t="s">
        <v>10</v>
      </c>
      <c r="E13" s="2" t="s">
        <v>27</v>
      </c>
      <c r="F13" s="2" t="s">
        <v>32</v>
      </c>
      <c r="G13" s="2" t="s">
        <v>40</v>
      </c>
    </row>
    <row r="14" spans="1:7">
      <c r="A14" s="2">
        <v>13</v>
      </c>
      <c r="B14" s="3" t="s">
        <v>42</v>
      </c>
      <c r="C14" s="3" t="s">
        <v>10</v>
      </c>
      <c r="D14" s="3" t="s">
        <v>10</v>
      </c>
      <c r="E14" s="3" t="s">
        <v>27</v>
      </c>
      <c r="F14" s="3" t="s">
        <v>32</v>
      </c>
      <c r="G14" s="3" t="s">
        <v>40</v>
      </c>
    </row>
    <row r="15" spans="1:7">
      <c r="A15" s="2">
        <v>14</v>
      </c>
      <c r="B15" s="2" t="s">
        <v>43</v>
      </c>
      <c r="C15" s="2" t="s">
        <v>10</v>
      </c>
      <c r="D15" s="2" t="s">
        <v>10</v>
      </c>
      <c r="E15" s="2" t="s">
        <v>27</v>
      </c>
      <c r="F15" s="2" t="s">
        <v>32</v>
      </c>
      <c r="G15" s="2" t="s">
        <v>40</v>
      </c>
    </row>
    <row r="16" spans="1:7">
      <c r="A16" s="2">
        <v>15</v>
      </c>
      <c r="B16" s="3" t="s">
        <v>44</v>
      </c>
      <c r="C16" s="3" t="s">
        <v>10</v>
      </c>
      <c r="D16" s="3" t="s">
        <v>10</v>
      </c>
      <c r="E16" s="3" t="s">
        <v>27</v>
      </c>
      <c r="F16" s="3" t="s">
        <v>32</v>
      </c>
      <c r="G16" s="3" t="s">
        <v>40</v>
      </c>
    </row>
    <row r="17" spans="1:7">
      <c r="A17" s="2">
        <v>16</v>
      </c>
      <c r="B17" s="2" t="s">
        <v>45</v>
      </c>
      <c r="C17" s="2" t="s">
        <v>10</v>
      </c>
      <c r="D17" s="2" t="s">
        <v>10</v>
      </c>
      <c r="E17" s="2" t="s">
        <v>27</v>
      </c>
      <c r="F17" s="2" t="s">
        <v>32</v>
      </c>
      <c r="G17" s="2" t="s">
        <v>40</v>
      </c>
    </row>
    <row r="18" spans="1:7">
      <c r="A18" s="2">
        <v>17</v>
      </c>
      <c r="B18" s="3" t="s">
        <v>46</v>
      </c>
      <c r="C18" s="3" t="s">
        <v>10</v>
      </c>
      <c r="D18" s="3" t="s">
        <v>10</v>
      </c>
      <c r="E18" s="3" t="s">
        <v>27</v>
      </c>
      <c r="F18" s="3" t="s">
        <v>32</v>
      </c>
      <c r="G18" s="3" t="s">
        <v>40</v>
      </c>
    </row>
    <row r="19" spans="1:7">
      <c r="A19" s="2">
        <v>18</v>
      </c>
      <c r="B19" s="2" t="s">
        <v>47</v>
      </c>
      <c r="C19" s="2" t="s">
        <v>10</v>
      </c>
      <c r="D19" s="2" t="s">
        <v>10</v>
      </c>
      <c r="E19" s="2" t="s">
        <v>27</v>
      </c>
      <c r="F19" s="2" t="s">
        <v>32</v>
      </c>
      <c r="G19" s="2" t="s">
        <v>40</v>
      </c>
    </row>
    <row r="20" spans="1:7">
      <c r="A20" s="2">
        <v>19</v>
      </c>
      <c r="B20" s="3" t="s">
        <v>48</v>
      </c>
      <c r="C20" s="3" t="s">
        <v>49</v>
      </c>
      <c r="D20" s="3" t="s">
        <v>9</v>
      </c>
      <c r="E20" s="3" t="s">
        <v>8</v>
      </c>
      <c r="F20" s="3"/>
      <c r="G20" s="3"/>
    </row>
    <row r="21" spans="1:7">
      <c r="A21" s="2">
        <v>20</v>
      </c>
      <c r="B21" s="2" t="s">
        <v>50</v>
      </c>
      <c r="C21" s="2" t="s">
        <v>9</v>
      </c>
      <c r="D21" s="2" t="s">
        <v>8</v>
      </c>
      <c r="E21" s="2" t="s">
        <v>11</v>
      </c>
      <c r="F21" s="2" t="s">
        <v>11</v>
      </c>
      <c r="G21" s="2" t="s">
        <v>51</v>
      </c>
    </row>
    <row r="22" spans="1:7">
      <c r="A22" s="2">
        <v>21</v>
      </c>
      <c r="B22" s="3" t="s">
        <v>52</v>
      </c>
      <c r="C22" s="3" t="s">
        <v>32</v>
      </c>
      <c r="D22" s="3" t="s">
        <v>8</v>
      </c>
      <c r="E22" s="3" t="s">
        <v>9</v>
      </c>
      <c r="F22" s="3" t="s">
        <v>14</v>
      </c>
      <c r="G22" s="3" t="s">
        <v>53</v>
      </c>
    </row>
    <row r="34" spans="2:2">
      <c r="B34" s="2" t="s">
        <v>54</v>
      </c>
    </row>
    <row r="38" spans="2:2">
      <c r="B38" s="2" t="s">
        <v>55</v>
      </c>
    </row>
    <row r="40" spans="2:2">
      <c r="B40" s="2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58EA-BC91-46E0-A5F1-01A67C142B3B}">
  <dimension ref="A2:I13"/>
  <sheetViews>
    <sheetView tabSelected="1" workbookViewId="0">
      <selection activeCell="F15" sqref="F15"/>
    </sheetView>
  </sheetViews>
  <sheetFormatPr defaultRowHeight="15.6"/>
  <cols>
    <col min="1" max="1" width="25" bestFit="1" customWidth="1"/>
    <col min="4" max="4" width="18.375" bestFit="1" customWidth="1"/>
    <col min="5" max="5" width="18.375" customWidth="1"/>
    <col min="6" max="6" width="23.125" bestFit="1" customWidth="1"/>
    <col min="9" max="9" width="12.5" bestFit="1" customWidth="1"/>
  </cols>
  <sheetData>
    <row r="2" spans="1:9">
      <c r="D2" t="s">
        <v>57</v>
      </c>
    </row>
    <row r="3" spans="1:9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63</v>
      </c>
      <c r="G3" s="12" t="s">
        <v>64</v>
      </c>
      <c r="H3" s="12" t="s">
        <v>65</v>
      </c>
      <c r="I3" s="12" t="s">
        <v>66</v>
      </c>
    </row>
    <row r="4" spans="1:9">
      <c r="A4" s="4" t="s">
        <v>67</v>
      </c>
      <c r="B4" s="4">
        <v>1</v>
      </c>
      <c r="C4" s="4" t="s">
        <v>68</v>
      </c>
      <c r="D4" s="11">
        <v>8</v>
      </c>
      <c r="E4" s="4">
        <v>3</v>
      </c>
      <c r="F4" s="4" t="s">
        <v>69</v>
      </c>
      <c r="G4" s="4">
        <v>120</v>
      </c>
      <c r="H4" s="9">
        <v>253</v>
      </c>
      <c r="I4" s="9">
        <f>H4*G4</f>
        <v>30360</v>
      </c>
    </row>
    <row r="5" spans="1:9">
      <c r="A5" s="4" t="s">
        <v>70</v>
      </c>
      <c r="B5" s="4">
        <v>1</v>
      </c>
      <c r="C5" s="4" t="s">
        <v>68</v>
      </c>
      <c r="D5" s="11">
        <v>8</v>
      </c>
      <c r="E5" s="4">
        <v>4</v>
      </c>
      <c r="F5" s="4" t="s">
        <v>71</v>
      </c>
      <c r="G5" s="4">
        <v>160</v>
      </c>
      <c r="H5" s="9">
        <v>253</v>
      </c>
      <c r="I5" s="9">
        <f>H5*G5</f>
        <v>40480</v>
      </c>
    </row>
    <row r="6" spans="1:9">
      <c r="A6" s="4" t="s">
        <v>72</v>
      </c>
      <c r="B6" s="4">
        <v>1</v>
      </c>
      <c r="C6" s="4" t="s">
        <v>68</v>
      </c>
      <c r="D6" s="11">
        <v>9</v>
      </c>
      <c r="E6" s="4">
        <v>3</v>
      </c>
      <c r="F6" s="4">
        <v>7</v>
      </c>
      <c r="G6" s="4">
        <v>120</v>
      </c>
      <c r="H6" s="9">
        <v>219</v>
      </c>
      <c r="I6" s="9">
        <f>H6*G6</f>
        <v>26280</v>
      </c>
    </row>
    <row r="7" spans="1:9">
      <c r="A7" s="4" t="s">
        <v>73</v>
      </c>
      <c r="B7" s="4">
        <v>1</v>
      </c>
      <c r="C7" s="4" t="s">
        <v>68</v>
      </c>
      <c r="D7" s="11">
        <v>8</v>
      </c>
      <c r="E7" s="4">
        <v>3</v>
      </c>
      <c r="F7" s="4">
        <v>8</v>
      </c>
      <c r="G7" s="4">
        <v>120</v>
      </c>
      <c r="H7" s="9">
        <v>253</v>
      </c>
      <c r="I7" s="9">
        <f>G7*H7</f>
        <v>30360</v>
      </c>
    </row>
    <row r="8" spans="1:9">
      <c r="A8" s="4" t="s">
        <v>74</v>
      </c>
      <c r="B8" s="4">
        <v>1</v>
      </c>
      <c r="C8" s="4" t="s">
        <v>68</v>
      </c>
      <c r="D8" s="11">
        <v>5</v>
      </c>
      <c r="E8" s="4">
        <v>5</v>
      </c>
      <c r="F8" s="4" t="s">
        <v>75</v>
      </c>
      <c r="G8" s="4">
        <v>200</v>
      </c>
      <c r="H8" s="9">
        <v>421</v>
      </c>
      <c r="I8" s="9">
        <f>G8*H8</f>
        <v>84200</v>
      </c>
    </row>
    <row r="9" spans="1:9">
      <c r="A9" s="4" t="s">
        <v>76</v>
      </c>
      <c r="B9" s="4">
        <v>2</v>
      </c>
      <c r="C9" s="4" t="s">
        <v>68</v>
      </c>
      <c r="D9" s="4">
        <v>9</v>
      </c>
      <c r="E9" s="4">
        <v>3</v>
      </c>
      <c r="F9" s="4"/>
      <c r="G9" s="4">
        <v>240</v>
      </c>
      <c r="H9" s="9">
        <v>202</v>
      </c>
      <c r="I9" s="9">
        <f>G9*H9</f>
        <v>48480</v>
      </c>
    </row>
    <row r="10" spans="1:9" ht="15.95" thickBot="1">
      <c r="D10" s="5"/>
      <c r="E10" s="10"/>
      <c r="F10" s="10"/>
      <c r="G10" s="6"/>
      <c r="H10" s="6"/>
      <c r="I10" s="8">
        <f>SUM(I4:I9)</f>
        <v>260160</v>
      </c>
    </row>
    <row r="11" spans="1:9">
      <c r="D11" s="2"/>
      <c r="E11" s="2"/>
      <c r="F11" s="2"/>
      <c r="G11" s="2"/>
      <c r="H11" s="2"/>
      <c r="I11" s="2"/>
    </row>
    <row r="12" spans="1:9">
      <c r="D12" s="2"/>
      <c r="E12" s="2"/>
      <c r="F12" s="2"/>
      <c r="G12" s="2"/>
      <c r="H12" s="2"/>
      <c r="I12" s="2"/>
    </row>
    <row r="13" spans="1:9">
      <c r="D13" s="2" t="s">
        <v>77</v>
      </c>
      <c r="E13" s="2"/>
      <c r="F13" s="2"/>
      <c r="G13" s="7">
        <v>375000</v>
      </c>
      <c r="H13" s="2"/>
      <c r="I1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35d2a8-a30d-4044-9087-c835c4d25ec0" xsi:nil="true"/>
    <lcf76f155ced4ddcb4097134ff3c332f xmlns="58f3060e-ba79-47cb-9ea1-d7fa2caf72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2F8219DCD26A448CFF21BB2F9E5B31" ma:contentTypeVersion="14" ma:contentTypeDescription="Create a new document." ma:contentTypeScope="" ma:versionID="096341dcab9473284fbf7b68ac8d9c39">
  <xsd:schema xmlns:xsd="http://www.w3.org/2001/XMLSchema" xmlns:xs="http://www.w3.org/2001/XMLSchema" xmlns:p="http://schemas.microsoft.com/office/2006/metadata/properties" xmlns:ns2="58f3060e-ba79-47cb-9ea1-d7fa2caf7232" xmlns:ns3="8035d2a8-a30d-4044-9087-c835c4d25ec0" targetNamespace="http://schemas.microsoft.com/office/2006/metadata/properties" ma:root="true" ma:fieldsID="574d16264f9a670fe77dee52af2632b0" ns2:_="" ns3:_="">
    <xsd:import namespace="58f3060e-ba79-47cb-9ea1-d7fa2caf7232"/>
    <xsd:import namespace="8035d2a8-a30d-4044-9087-c835c4d25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3060e-ba79-47cb-9ea1-d7fa2caf7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49a8fb2-8480-4cad-9274-c046ac28ec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5d2a8-a30d-4044-9087-c835c4d25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965eeff-fd8a-47ff-85bf-8fa5252c2538}" ma:internalName="TaxCatchAll" ma:showField="CatchAllData" ma:web="8035d2a8-a30d-4044-9087-c835c4d25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F35986-910E-4EC7-853A-705023FCB10F}"/>
</file>

<file path=customXml/itemProps2.xml><?xml version="1.0" encoding="utf-8"?>
<ds:datastoreItem xmlns:ds="http://schemas.openxmlformats.org/officeDocument/2006/customXml" ds:itemID="{13C87E1A-7D88-41CB-B1C9-C085F1DFA877}"/>
</file>

<file path=customXml/itemProps3.xml><?xml version="1.0" encoding="utf-8"?>
<ds:datastoreItem xmlns:ds="http://schemas.openxmlformats.org/officeDocument/2006/customXml" ds:itemID="{23970130-92A3-491D-95C4-4D4A03C978C3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Jarrett, Denise</dc:creator>
  <cp:keywords/>
  <dc:description/>
  <cp:lastModifiedBy/>
  <cp:revision/>
  <dcterms:created xsi:type="dcterms:W3CDTF">2025-11-07T21:42:31Z</dcterms:created>
  <dcterms:modified xsi:type="dcterms:W3CDTF">2025-11-24T13:50:48Z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0x010100CA2F8219DCD26A448CFF21BB2F9E5B31</vt:lpwstr>
  </property>
  <property fmtid="{D5CDD505-2E9C-101B-9397-08002B2CF9AE}" pid="3" name="MediaServiceImageTags">
    <vt:lpwstr/>
  </property>
</Properties>
</file>